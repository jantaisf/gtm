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AE Model" sheetId="2" state="visible" r:id="rId2"/>
    <sheet name="AM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%;(0.0%);&quot;-&quot;"/>
    <numFmt numFmtId="166" formatCode="0.00x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000FF"/>
      <sz val="9"/>
    </font>
    <font>
      <name val="Arial"/>
      <i val="1"/>
      <color rgb="00595959"/>
      <sz val="8"/>
    </font>
    <font>
      <name val="Arial"/>
      <color rgb="00008000"/>
      <sz val="9"/>
    </font>
    <font>
      <name val="Arial"/>
      <sz val="9"/>
    </font>
    <font>
      <name val="Arial"/>
      <color theme="1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4A7A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9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6" fillId="0" borderId="1" pivotButton="0" quotePrefix="0" xfId="0"/>
    <xf numFmtId="1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  <xf numFmtId="164" fontId="7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8" fillId="0" borderId="1" pivotButton="0" quotePrefix="0" xfId="0"/>
    <xf numFmtId="165" fontId="7" fillId="0" borderId="1" pivotButton="0" quotePrefix="0" xfId="0"/>
    <xf numFmtId="165" fontId="5" fillId="5" borderId="1" pivotButton="0" quotePrefix="0" xfId="0"/>
    <xf numFmtId="0" fontId="8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5" fontId="4" fillId="6" borderId="1" applyAlignment="1" pivotButton="0" quotePrefix="0" xfId="0">
      <alignment horizontal="right" vertical="center"/>
    </xf>
    <xf numFmtId="0" fontId="6" fillId="0" borderId="0" pivotButton="0" quotePrefix="0" xfId="0"/>
    <xf numFmtId="166" fontId="7" fillId="0" borderId="1" applyAlignment="1" pivotButton="0" quotePrefix="0" xfId="0">
      <alignment horizontal="right" vertical="center"/>
    </xf>
    <xf numFmtId="164" fontId="7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8" customWidth="1" min="3" max="3"/>
    <col width="5" customWidth="1" min="4" max="4"/>
  </cols>
  <sheetData>
    <row r="1" ht="22" customHeight="1">
      <c r="A1" s="1" t="inlineStr">
        <is>
          <t>Prisma Cloud cACV Comp Model — Inputs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 ht="18" customHeight="1">
      <c r="A3" s="3" t="inlineStr">
        <is>
          <t>DEAL PARAMETERS</t>
        </is>
      </c>
      <c r="B3" s="2" t="n"/>
      <c r="C3" s="2" t="n"/>
      <c r="D3" s="2" t="n"/>
    </row>
    <row r="4" ht="30" customHeight="1">
      <c r="A4" s="4" t="inlineStr">
        <is>
          <t>Parameter</t>
        </is>
      </c>
      <c r="B4" s="5" t="inlineStr">
        <is>
          <t>Value</t>
        </is>
      </c>
      <c r="C4" s="4" t="inlineStr">
        <is>
          <t>Notes</t>
        </is>
      </c>
      <c r="D4" s="2" t="n"/>
    </row>
    <row r="5">
      <c r="A5" s="6" t="inlineStr">
        <is>
          <t>ACV ($/yr)</t>
        </is>
      </c>
      <c r="B5" s="7" t="n">
        <v>300000</v>
      </c>
      <c r="C5" s="8" t="inlineStr">
        <is>
          <t>Annual Contract Value</t>
        </is>
      </c>
      <c r="D5" s="2" t="n"/>
    </row>
    <row r="6">
      <c r="A6" s="6" t="inlineStr">
        <is>
          <t>Contract term (years)</t>
        </is>
      </c>
      <c r="B6" s="9" t="n">
        <v>3</v>
      </c>
      <c r="C6" s="8" t="inlineStr">
        <is>
          <t>Valid values: 1, 2, 3, 5</t>
        </is>
      </c>
      <c r="D6" s="2" t="n"/>
    </row>
    <row r="7">
      <c r="A7" s="6" t="inlineStr">
        <is>
          <t>Year 1 consumption rate</t>
        </is>
      </c>
      <c r="B7" s="10" t="n">
        <v>0.8</v>
      </c>
      <c r="C7" s="8" t="inlineStr">
        <is>
          <t>% of ACV consumed in Year 1</t>
        </is>
      </c>
      <c r="D7" s="2" t="n"/>
    </row>
    <row r="8">
      <c r="A8" s="6" t="inlineStr">
        <is>
          <t>Year 2 consumption rate</t>
        </is>
      </c>
      <c r="B8" s="10" t="n">
        <v>0.85</v>
      </c>
      <c r="C8" s="8" t="inlineStr">
        <is>
          <t>% of ACV consumed in Year 2</t>
        </is>
      </c>
      <c r="D8" s="2" t="n"/>
    </row>
    <row r="9">
      <c r="A9" s="6" t="inlineStr">
        <is>
          <t>Year 3 consumption rate</t>
        </is>
      </c>
      <c r="B9" s="10" t="n">
        <v>0.9</v>
      </c>
      <c r="C9" s="8" t="inlineStr">
        <is>
          <t>% of ACV consumed in Year 3</t>
        </is>
      </c>
      <c r="D9" s="2" t="n"/>
    </row>
    <row r="10">
      <c r="A10" s="6" t="inlineStr">
        <is>
          <t>Year 4 consumption rate</t>
        </is>
      </c>
      <c r="B10" s="10" t="n">
        <v>0.9</v>
      </c>
      <c r="C10" s="8" t="inlineStr">
        <is>
          <t>Only relevant for 5-yr deals</t>
        </is>
      </c>
      <c r="D10" s="2" t="n"/>
    </row>
    <row r="11">
      <c r="A11" s="6" t="inlineStr">
        <is>
          <t>Year 5 consumption rate</t>
        </is>
      </c>
      <c r="B11" s="10" t="n">
        <v>0.9</v>
      </c>
      <c r="C11" s="8" t="inlineStr">
        <is>
          <t>Only relevant for 5-yr deals</t>
        </is>
      </c>
      <c r="D11" s="2" t="n"/>
    </row>
    <row r="12">
      <c r="A12" s="2" t="n"/>
      <c r="B12" s="2" t="n"/>
      <c r="C12" s="2" t="n"/>
      <c r="D12" s="2" t="n"/>
    </row>
    <row r="13" ht="18" customHeight="1">
      <c r="A13" s="3" t="inlineStr">
        <is>
          <t>QUOTA STRUCTURE</t>
        </is>
      </c>
      <c r="B13" s="2" t="n"/>
      <c r="C13" s="2" t="n"/>
      <c r="D13" s="2" t="n"/>
    </row>
    <row r="14" ht="30" customHeight="1">
      <c r="A14" s="4" t="inlineStr">
        <is>
          <t>Parameter</t>
        </is>
      </c>
      <c r="B14" s="5" t="inlineStr">
        <is>
          <t>Value</t>
        </is>
      </c>
      <c r="C14" s="2" t="n"/>
      <c r="D14" s="2" t="n"/>
    </row>
    <row r="15">
      <c r="A15" s="6" t="inlineStr">
        <is>
          <t>AE total quota ($)</t>
        </is>
      </c>
      <c r="B15" s="7" t="n">
        <v>1000000</v>
      </c>
      <c r="C15" s="2" t="n"/>
      <c r="D15" s="2" t="n"/>
    </row>
    <row r="16">
      <c r="A16" s="6" t="inlineStr">
        <is>
          <t>AE bookings weight</t>
        </is>
      </c>
      <c r="B16" s="10" t="n">
        <v>0.7</v>
      </c>
      <c r="C16" s="2" t="n"/>
      <c r="D16" s="2" t="n"/>
    </row>
    <row r="17">
      <c r="A17" s="6" t="inlineStr">
        <is>
          <t>AE cACV weight</t>
        </is>
      </c>
      <c r="B17" s="10" t="n">
        <v>0.3</v>
      </c>
      <c r="C17" s="2" t="n"/>
      <c r="D17" s="2" t="n"/>
    </row>
    <row r="18">
      <c r="A18" s="6" t="inlineStr">
        <is>
          <t>AM total quota ($)</t>
        </is>
      </c>
      <c r="B18" s="7" t="n">
        <v>800000</v>
      </c>
      <c r="C18" s="2" t="n"/>
      <c r="D18" s="2" t="n"/>
    </row>
    <row r="19">
      <c r="A19" s="6" t="inlineStr">
        <is>
          <t>AM bookings weight</t>
        </is>
      </c>
      <c r="B19" s="10" t="n">
        <v>0.3</v>
      </c>
      <c r="C19" s="2" t="n"/>
      <c r="D19" s="2" t="n"/>
    </row>
    <row r="20">
      <c r="A20" s="6" t="inlineStr">
        <is>
          <t>AM cACV weight</t>
        </is>
      </c>
      <c r="B20" s="10" t="n">
        <v>0.7</v>
      </c>
      <c r="C20" s="2" t="n"/>
      <c r="D20" s="2" t="n"/>
    </row>
    <row r="21">
      <c r="A21" s="2" t="n"/>
      <c r="B21" s="2" t="n"/>
      <c r="C21" s="2" t="n"/>
      <c r="D21" s="2" t="n"/>
    </row>
    <row r="22" ht="18" customHeight="1">
      <c r="A22" s="3" t="inlineStr">
        <is>
          <t>TERM MULTIPLIERS</t>
        </is>
      </c>
      <c r="B22" s="2" t="n"/>
      <c r="C22" s="2" t="n"/>
      <c r="D22" s="2" t="n"/>
    </row>
    <row r="23" ht="30" customHeight="1">
      <c r="A23" s="4" t="inlineStr">
        <is>
          <t>Term</t>
        </is>
      </c>
      <c r="B23" s="5" t="inlineStr">
        <is>
          <t>Multiplier</t>
        </is>
      </c>
      <c r="C23" s="2" t="n"/>
      <c r="D23" s="2" t="n"/>
    </row>
    <row r="24">
      <c r="A24" s="6" t="inlineStr">
        <is>
          <t>1-year multiplier</t>
        </is>
      </c>
      <c r="B24" s="11" t="n">
        <v>1</v>
      </c>
      <c r="C24" s="2" t="n"/>
      <c r="D24" s="2" t="n"/>
    </row>
    <row r="25">
      <c r="A25" s="6" t="inlineStr">
        <is>
          <t>2-year multiplier</t>
        </is>
      </c>
      <c r="B25" s="11" t="n">
        <v>1.2</v>
      </c>
      <c r="C25" s="2" t="n"/>
      <c r="D25" s="2" t="n"/>
    </row>
    <row r="26">
      <c r="A26" s="6" t="inlineStr">
        <is>
          <t>3-year multiplier</t>
        </is>
      </c>
      <c r="B26" s="11" t="n">
        <v>1.35</v>
      </c>
      <c r="C26" s="2" t="n"/>
      <c r="D26" s="2" t="n"/>
    </row>
    <row r="27">
      <c r="A27" s="6" t="inlineStr">
        <is>
          <t>5-year multiplier</t>
        </is>
      </c>
      <c r="B27" s="11" t="n">
        <v>1.5</v>
      </c>
      <c r="C27" s="2" t="n"/>
      <c r="D27" s="2" t="n"/>
    </row>
    <row r="28">
      <c r="A28" s="2" t="n"/>
      <c r="B28" s="2" t="n"/>
      <c r="C28" s="2" t="n"/>
      <c r="D28" s="2" t="n"/>
    </row>
    <row r="29" ht="30" customHeight="1">
      <c r="A29" s="12" t="inlineStr">
        <is>
          <t>Source: Arora (PANW Q2 FY2024 earnings): avg contract ~3 years; platformization deals 3–5 years. cACV = MIN(ACV × consumption_rate, ACV). expansion_signal_acv = MAX(ACV × rate − ACV, 0).</t>
        </is>
      </c>
      <c r="B29" s="2" t="n"/>
      <c r="C29" s="2" t="n"/>
      <c r="D29" s="2" t="n"/>
    </row>
    <row r="30">
      <c r="A30" s="2" t="n"/>
      <c r="B30" s="2" t="n"/>
      <c r="C30" s="2" t="n"/>
      <c r="D30" s="2" t="n"/>
    </row>
  </sheetData>
  <mergeCells count="5">
    <mergeCell ref="A1:D1"/>
    <mergeCell ref="A22:D22"/>
    <mergeCell ref="A3:D3"/>
    <mergeCell ref="A29:D30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4" customWidth="1" min="4" max="4"/>
    <col width="24" customWidth="1" min="5" max="5"/>
    <col width="22" customWidth="1" min="6" max="6"/>
    <col width="22" customWidth="1" min="7" max="7"/>
    <col width="5" customWidth="1" min="8" max="8"/>
  </cols>
  <sheetData>
    <row r="1" ht="22" customHeight="1">
      <c r="A1" s="1" t="inlineStr">
        <is>
          <t>Prisma Cloud cACV Comp Model — AE Model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 ht="18" customHeight="1">
      <c r="A3" s="3" t="inlineStr">
        <is>
          <t>SECTION 1 — Deal Economics by Term</t>
        </is>
      </c>
      <c r="B3" s="2" t="n"/>
      <c r="C3" s="2" t="n"/>
      <c r="D3" s="2" t="n"/>
      <c r="E3" s="2" t="n"/>
      <c r="F3" s="2" t="n"/>
      <c r="G3" s="2" t="n"/>
    </row>
    <row r="4" ht="30" customHeight="1">
      <c r="A4" s="5" t="inlineStr">
        <is>
          <t>Term</t>
        </is>
      </c>
      <c r="B4" s="5" t="inlineStr">
        <is>
          <t>ACV ($/yr)</t>
        </is>
      </c>
      <c r="C4" s="5" t="inlineStr">
        <is>
          <t>TCV ($)</t>
        </is>
      </c>
      <c r="D4" s="5" t="inlineStr">
        <is>
          <t>Quota Credit — No Multiplier ($)</t>
        </is>
      </c>
      <c r="E4" s="5" t="inlineStr">
        <is>
          <t>Quota Credit — Our Multiplier ($)</t>
        </is>
      </c>
      <c r="F4" s="5" t="inlineStr">
        <is>
          <t>Quota Credit — Full TCV ($)</t>
        </is>
      </c>
      <c r="G4" s="2" t="n"/>
    </row>
    <row r="5">
      <c r="A5" s="6" t="inlineStr">
        <is>
          <t>1-year</t>
        </is>
      </c>
      <c r="B5" s="13">
        <f>Inputs!B5</f>
        <v/>
      </c>
      <c r="C5" s="14">
        <f>B5*1</f>
        <v/>
      </c>
      <c r="D5" s="14">
        <f>B5*1</f>
        <v/>
      </c>
      <c r="E5" s="14">
        <f>B5*Inputs!B24</f>
        <v/>
      </c>
      <c r="F5" s="14">
        <f>C5</f>
        <v/>
      </c>
      <c r="G5" s="2" t="n"/>
    </row>
    <row r="6">
      <c r="A6" s="6" t="inlineStr">
        <is>
          <t>2-year</t>
        </is>
      </c>
      <c r="B6" s="13">
        <f>Inputs!B5</f>
        <v/>
      </c>
      <c r="C6" s="14">
        <f>B6*2</f>
        <v/>
      </c>
      <c r="D6" s="14">
        <f>B6*1</f>
        <v/>
      </c>
      <c r="E6" s="14">
        <f>B6*Inputs!B25</f>
        <v/>
      </c>
      <c r="F6" s="14">
        <f>C6</f>
        <v/>
      </c>
      <c r="G6" s="2" t="n"/>
    </row>
    <row r="7">
      <c r="A7" s="6" t="inlineStr">
        <is>
          <t>3-year</t>
        </is>
      </c>
      <c r="B7" s="13">
        <f>Inputs!B5</f>
        <v/>
      </c>
      <c r="C7" s="14">
        <f>B7*3</f>
        <v/>
      </c>
      <c r="D7" s="14">
        <f>B7*1</f>
        <v/>
      </c>
      <c r="E7" s="14">
        <f>B7*Inputs!B26</f>
        <v/>
      </c>
      <c r="F7" s="14">
        <f>C7</f>
        <v/>
      </c>
      <c r="G7" s="2" t="n"/>
    </row>
    <row r="8">
      <c r="A8" s="6" t="inlineStr">
        <is>
          <t>5-year</t>
        </is>
      </c>
      <c r="B8" s="13">
        <f>Inputs!B5</f>
        <v/>
      </c>
      <c r="C8" s="14">
        <f>B8*5</f>
        <v/>
      </c>
      <c r="D8" s="14">
        <f>B8*1</f>
        <v/>
      </c>
      <c r="E8" s="14">
        <f>B8*Inputs!B27</f>
        <v/>
      </c>
      <c r="F8" s="14">
        <f>C8</f>
        <v/>
      </c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 ht="18" customHeight="1">
      <c r="A10" s="3" t="inlineStr">
        <is>
          <t>SECTION 2 — Bookings Quota Attainment by Approach (% of AE Bookings Quota)</t>
        </is>
      </c>
      <c r="B10" s="2" t="n"/>
      <c r="C10" s="2" t="n"/>
      <c r="D10" s="2" t="n"/>
      <c r="E10" s="2" t="n"/>
      <c r="F10" s="2" t="n"/>
      <c r="G10" s="2" t="n"/>
    </row>
    <row r="11" ht="30" customHeight="1">
      <c r="A11" s="5" t="inlineStr">
        <is>
          <t>Term</t>
        </is>
      </c>
      <c r="B11" s="5" t="inlineStr">
        <is>
          <t>AE Bookings Quota ($)</t>
        </is>
      </c>
      <c r="C11" s="5" t="inlineStr">
        <is>
          <t>Attainment — No Multiplier</t>
        </is>
      </c>
      <c r="D11" s="5" t="inlineStr">
        <is>
          <t>Attainment — Our Multiplier</t>
        </is>
      </c>
      <c r="E11" s="5" t="inlineStr">
        <is>
          <t>Attainment — Full TCV</t>
        </is>
      </c>
      <c r="F11" s="2" t="n"/>
      <c r="G11" s="2" t="n"/>
    </row>
    <row r="12">
      <c r="A12" s="6" t="inlineStr">
        <is>
          <t>1-year</t>
        </is>
      </c>
      <c r="B12" s="14">
        <f>Inputs!B15*Inputs!B16</f>
        <v/>
      </c>
      <c r="C12" s="15">
        <f>D5/B12</f>
        <v/>
      </c>
      <c r="D12" s="15">
        <f>E5/B12</f>
        <v/>
      </c>
      <c r="E12" s="15">
        <f>F5/B12</f>
        <v/>
      </c>
      <c r="F12" s="2" t="n"/>
      <c r="G12" s="2" t="n"/>
    </row>
    <row r="13">
      <c r="A13" s="6" t="inlineStr">
        <is>
          <t>2-year</t>
        </is>
      </c>
      <c r="B13" s="14">
        <f>Inputs!B15*Inputs!B16</f>
        <v/>
      </c>
      <c r="C13" s="15">
        <f>D6/B13</f>
        <v/>
      </c>
      <c r="D13" s="15">
        <f>E6/B13</f>
        <v/>
      </c>
      <c r="E13" s="15">
        <f>F6/B13</f>
        <v/>
      </c>
      <c r="F13" s="2" t="n"/>
      <c r="G13" s="2" t="n"/>
    </row>
    <row r="14">
      <c r="A14" s="6" t="inlineStr">
        <is>
          <t>3-year</t>
        </is>
      </c>
      <c r="B14" s="14">
        <f>Inputs!B15*Inputs!B16</f>
        <v/>
      </c>
      <c r="C14" s="15">
        <f>D7/B14</f>
        <v/>
      </c>
      <c r="D14" s="15">
        <f>E7/B14</f>
        <v/>
      </c>
      <c r="E14" s="15">
        <f>F7/B14</f>
        <v/>
      </c>
      <c r="F14" s="2" t="n"/>
      <c r="G14" s="2" t="n"/>
    </row>
    <row r="15">
      <c r="A15" s="6" t="inlineStr">
        <is>
          <t>5-year</t>
        </is>
      </c>
      <c r="B15" s="14">
        <f>Inputs!B15*Inputs!B16</f>
        <v/>
      </c>
      <c r="C15" s="15">
        <f>D8/B15</f>
        <v/>
      </c>
      <c r="D15" s="15">
        <f>E8/B15</f>
        <v/>
      </c>
      <c r="E15" s="15">
        <f>F8/B15</f>
        <v/>
      </c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 ht="18" customHeight="1">
      <c r="A17" s="3" t="inlineStr">
        <is>
          <t>SECTION 3 — Annual cACV by Year (based on selected contract term)</t>
        </is>
      </c>
      <c r="B17" s="2" t="n"/>
      <c r="C17" s="2" t="n"/>
      <c r="D17" s="2" t="n"/>
      <c r="E17" s="2" t="n"/>
      <c r="F17" s="2" t="n"/>
      <c r="G17" s="2" t="n"/>
    </row>
    <row r="18" ht="30" customHeight="1">
      <c r="A18" s="5" t="inlineStr">
        <is>
          <t>Year</t>
        </is>
      </c>
      <c r="B18" s="5" t="inlineStr">
        <is>
          <t>Consumption Rate</t>
        </is>
      </c>
      <c r="C18" s="5" t="inlineStr">
        <is>
          <t>Annual cACV ($)</t>
        </is>
      </c>
      <c r="D18" s="5" t="inlineStr">
        <is>
          <t>expansion_signal_acv ($)</t>
        </is>
      </c>
      <c r="E18" s="5" t="inlineStr">
        <is>
          <t>AE cACV Quota Contribution ($)</t>
        </is>
      </c>
      <c r="F18" s="2" t="n"/>
      <c r="G18" s="2" t="n"/>
    </row>
    <row r="19">
      <c r="A19" s="16" t="inlineStr">
        <is>
          <t>Year 1</t>
        </is>
      </c>
      <c r="B19" s="17">
        <f>IF((Inputs!B6&gt;=1),Inputs!B7,"N/A")</f>
        <v/>
      </c>
      <c r="C19" s="14">
        <f>IF((Inputs!B6&gt;=1),MIN(Inputs!B5*Inputs!B7,Inputs!B5),"N/A")</f>
        <v/>
      </c>
      <c r="D19" s="14">
        <f>IF((Inputs!B6&gt;=1),MAX(Inputs!B5*Inputs!B7-Inputs!B5,0),"N/A")</f>
        <v/>
      </c>
      <c r="E19" s="14">
        <f>IF((Inputs!B6&gt;=1),MIN(Inputs!B5*Inputs!B7,Inputs!B5)*Inputs!B17,"N/A")</f>
        <v/>
      </c>
      <c r="F19" s="2" t="n"/>
      <c r="G19" s="2" t="n"/>
    </row>
    <row r="20">
      <c r="A20" s="16" t="inlineStr">
        <is>
          <t>Year 2</t>
        </is>
      </c>
      <c r="B20" s="17">
        <f>IF((Inputs!B6&gt;=2),Inputs!B8,"N/A")</f>
        <v/>
      </c>
      <c r="C20" s="14">
        <f>IF((Inputs!B6&gt;=2),MIN(Inputs!B5*Inputs!B8,Inputs!B5),"N/A")</f>
        <v/>
      </c>
      <c r="D20" s="14">
        <f>IF((Inputs!B6&gt;=2),MAX(Inputs!B5*Inputs!B8-Inputs!B5,0),"N/A")</f>
        <v/>
      </c>
      <c r="E20" s="14">
        <f>IF((Inputs!B6&gt;=2),MIN(Inputs!B5*Inputs!B8,Inputs!B5)*Inputs!B17,"N/A")</f>
        <v/>
      </c>
      <c r="F20" s="2" t="n"/>
      <c r="G20" s="2" t="n"/>
    </row>
    <row r="21">
      <c r="A21" s="16" t="inlineStr">
        <is>
          <t>Year 3</t>
        </is>
      </c>
      <c r="B21" s="17">
        <f>IF((Inputs!B6&gt;=3),Inputs!B9,"N/A")</f>
        <v/>
      </c>
      <c r="C21" s="14">
        <f>IF((Inputs!B6&gt;=3),MIN(Inputs!B5*Inputs!B9,Inputs!B5),"N/A")</f>
        <v/>
      </c>
      <c r="D21" s="14">
        <f>IF((Inputs!B6&gt;=3),MAX(Inputs!B5*Inputs!B9-Inputs!B5,0),"N/A")</f>
        <v/>
      </c>
      <c r="E21" s="14">
        <f>IF((Inputs!B6&gt;=3),MIN(Inputs!B5*Inputs!B9,Inputs!B5)*Inputs!B17,"N/A")</f>
        <v/>
      </c>
      <c r="F21" s="2" t="n"/>
      <c r="G21" s="2" t="n"/>
    </row>
    <row r="22">
      <c r="A22" s="16" t="inlineStr">
        <is>
          <t>Year 4</t>
        </is>
      </c>
      <c r="B22" s="17">
        <f>IF((Inputs!B6&gt;=4),Inputs!B10,"N/A")</f>
        <v/>
      </c>
      <c r="C22" s="14">
        <f>IF((Inputs!B6&gt;=4),MIN(Inputs!B5*Inputs!B10,Inputs!B5),"N/A")</f>
        <v/>
      </c>
      <c r="D22" s="14">
        <f>IF((Inputs!B6&gt;=4),MAX(Inputs!B5*Inputs!B10-Inputs!B5,0),"N/A")</f>
        <v/>
      </c>
      <c r="E22" s="14">
        <f>IF((Inputs!B6&gt;=4),MIN(Inputs!B5*Inputs!B10,Inputs!B5)*Inputs!B17,"N/A")</f>
        <v/>
      </c>
      <c r="F22" s="2" t="n"/>
      <c r="G22" s="2" t="n"/>
    </row>
    <row r="23">
      <c r="A23" s="16" t="inlineStr">
        <is>
          <t>Year 5</t>
        </is>
      </c>
      <c r="B23" s="17">
        <f>IF((Inputs!B6&gt;=5),Inputs!B11,"N/A")</f>
        <v/>
      </c>
      <c r="C23" s="14">
        <f>IF((Inputs!B6&gt;=5),MIN(Inputs!B5*Inputs!B11,Inputs!B5),"N/A")</f>
        <v/>
      </c>
      <c r="D23" s="14">
        <f>IF((Inputs!B6&gt;=5),MAX(Inputs!B5*Inputs!B11-Inputs!B5,0),"N/A")</f>
        <v/>
      </c>
      <c r="E23" s="14">
        <f>IF((Inputs!B6&gt;=5),MIN(Inputs!B5*Inputs!B11,Inputs!B5)*Inputs!B17,"N/A")</f>
        <v/>
      </c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 ht="18" customHeight="1">
      <c r="A25" s="3" t="inlineStr">
        <is>
          <t>SECTION 4 — Consumption Sensitivity (flat rate across all contract years)</t>
        </is>
      </c>
      <c r="B25" s="2" t="n"/>
      <c r="C25" s="2" t="n"/>
      <c r="D25" s="2" t="n"/>
      <c r="E25" s="2" t="n"/>
      <c r="F25" s="2" t="n"/>
      <c r="G25" s="2" t="n"/>
    </row>
    <row r="26" ht="30" customHeight="1">
      <c r="A26" s="5" t="inlineStr">
        <is>
          <t>Flat Consumption
Rate</t>
        </is>
      </c>
      <c r="B26" s="5" t="inlineStr">
        <is>
          <t>Annual cACV ($)</t>
        </is>
      </c>
      <c r="C26" s="5" t="inlineStr">
        <is>
          <t>AE cACV Quota
Contribution ($)</t>
        </is>
      </c>
      <c r="D26" s="5" t="inlineStr">
        <is>
          <t>AE Bookings
Attainment % (Our Mult)</t>
        </is>
      </c>
      <c r="E26" s="5" t="inlineStr">
        <is>
          <t>Total AE Attainment %
(Bookings + cACV Yr1)</t>
        </is>
      </c>
      <c r="F26" s="5" t="inlineStr">
        <is>
          <t>Delta vs. 20%
Baseline</t>
        </is>
      </c>
      <c r="G26" s="2" t="n"/>
    </row>
    <row r="27">
      <c r="A27" s="18" t="n">
        <v>0.2</v>
      </c>
      <c r="B27" s="14">
        <f>MIN(Inputs!B5*0.2,Inputs!B5)</f>
        <v/>
      </c>
      <c r="C27" s="14">
        <f>B27*Inputs!B17</f>
        <v/>
      </c>
      <c r="D27" s="15">
        <f>(Inputs!B5*IFS(Inputs!B6=1,Inputs!B24,Inputs!B6=2,Inputs!B25,Inputs!B6=3,Inputs!B26,Inputs!B6=5,Inputs!B27))/(Inputs!B15*Inputs!B16)</f>
        <v/>
      </c>
      <c r="E27" s="15">
        <f>D27+C27/(Inputs!B15*Inputs!B17)</f>
        <v/>
      </c>
      <c r="F27" s="19" t="inlineStr">
        <is>
          <t>-</t>
        </is>
      </c>
      <c r="G27" s="2" t="n"/>
    </row>
    <row r="28">
      <c r="A28" s="18" t="n">
        <v>0.4</v>
      </c>
      <c r="B28" s="14">
        <f>MIN(Inputs!B5*0.4,Inputs!B5)</f>
        <v/>
      </c>
      <c r="C28" s="14">
        <f>B28*Inputs!B17</f>
        <v/>
      </c>
      <c r="D28" s="15">
        <f>(Inputs!B5*IFS(Inputs!B6=1,Inputs!B24,Inputs!B6=2,Inputs!B25,Inputs!B6=3,Inputs!B26,Inputs!B6=5,Inputs!B27))/(Inputs!B15*Inputs!B16)</f>
        <v/>
      </c>
      <c r="E28" s="15">
        <f>D28+C28/(Inputs!B15*Inputs!B17)</f>
        <v/>
      </c>
      <c r="F28" s="15">
        <f>E28-E27</f>
        <v/>
      </c>
      <c r="G28" s="2" t="n"/>
    </row>
    <row r="29">
      <c r="A29" s="18" t="n">
        <v>0.6</v>
      </c>
      <c r="B29" s="14">
        <f>MIN(Inputs!B5*0.6,Inputs!B5)</f>
        <v/>
      </c>
      <c r="C29" s="14">
        <f>B29*Inputs!B17</f>
        <v/>
      </c>
      <c r="D29" s="15">
        <f>(Inputs!B5*IFS(Inputs!B6=1,Inputs!B24,Inputs!B6=2,Inputs!B25,Inputs!B6=3,Inputs!B26,Inputs!B6=5,Inputs!B27))/(Inputs!B15*Inputs!B16)</f>
        <v/>
      </c>
      <c r="E29" s="15">
        <f>D29+C29/(Inputs!B15*Inputs!B17)</f>
        <v/>
      </c>
      <c r="F29" s="15">
        <f>E29-E27</f>
        <v/>
      </c>
      <c r="G29" s="2" t="n"/>
    </row>
    <row r="30">
      <c r="A30" s="18" t="n">
        <v>0.8</v>
      </c>
      <c r="B30" s="14">
        <f>MIN(Inputs!B5*0.8,Inputs!B5)</f>
        <v/>
      </c>
      <c r="C30" s="14">
        <f>B30*Inputs!B17</f>
        <v/>
      </c>
      <c r="D30" s="15">
        <f>(Inputs!B5*IFS(Inputs!B6=1,Inputs!B24,Inputs!B6=2,Inputs!B25,Inputs!B6=3,Inputs!B26,Inputs!B6=5,Inputs!B27))/(Inputs!B15*Inputs!B16)</f>
        <v/>
      </c>
      <c r="E30" s="15">
        <f>D30+C30/(Inputs!B15*Inputs!B17)</f>
        <v/>
      </c>
      <c r="F30" s="15">
        <f>E30-E27</f>
        <v/>
      </c>
      <c r="G30" s="2" t="n"/>
    </row>
    <row r="31">
      <c r="A31" s="18" t="n">
        <v>1</v>
      </c>
      <c r="B31" s="14">
        <f>MIN(Inputs!B5*1.0,Inputs!B5)</f>
        <v/>
      </c>
      <c r="C31" s="14">
        <f>B31*Inputs!B17</f>
        <v/>
      </c>
      <c r="D31" s="15">
        <f>(Inputs!B5*IFS(Inputs!B6=1,Inputs!B24,Inputs!B6=2,Inputs!B25,Inputs!B6=3,Inputs!B26,Inputs!B6=5,Inputs!B27))/(Inputs!B15*Inputs!B16)</f>
        <v/>
      </c>
      <c r="E31" s="15">
        <f>D31+C31/(Inputs!B15*Inputs!B17)</f>
        <v/>
      </c>
      <c r="F31" s="15">
        <f>E31-E27</f>
        <v/>
      </c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 ht="18" customHeight="1">
      <c r="A33" s="3" t="inlineStr">
        <is>
          <t>SECTION 5 — Total AE Attainment Summary (using Inputs consumption rates)</t>
        </is>
      </c>
      <c r="B33" s="2" t="n"/>
      <c r="C33" s="2" t="n"/>
      <c r="D33" s="2" t="n"/>
      <c r="E33" s="2" t="n"/>
      <c r="F33" s="2" t="n"/>
      <c r="G33" s="2" t="n"/>
    </row>
    <row r="34" ht="30" customHeight="1">
      <c r="A34" s="5" t="inlineStr">
        <is>
          <t>Metric</t>
        </is>
      </c>
      <c r="B34" s="5" t="inlineStr">
        <is>
          <t>No Multiplier</t>
        </is>
      </c>
      <c r="C34" s="5" t="inlineStr">
        <is>
          <t>Our Multiplier</t>
        </is>
      </c>
      <c r="D34" s="5" t="inlineStr">
        <is>
          <t>Full TCV</t>
        </is>
      </c>
      <c r="E34" s="2" t="n"/>
      <c r="F34" s="2" t="n"/>
      <c r="G34" s="2" t="n"/>
    </row>
    <row r="35">
      <c r="A35" s="6" t="inlineStr">
        <is>
          <t>Bookings Quota Credit ($)</t>
        </is>
      </c>
      <c r="B35" s="14">
        <f>Inputs!B5*1</f>
        <v/>
      </c>
      <c r="C35" s="14">
        <f>Inputs!B5*IFS(Inputs!B6=1,Inputs!B24,Inputs!B6=2,Inputs!B25,Inputs!B6=3,Inputs!B26,Inputs!B6=5,Inputs!B27)</f>
        <v/>
      </c>
      <c r="D35" s="14">
        <f>Inputs!B5*Inputs!B6</f>
        <v/>
      </c>
      <c r="E35" s="2" t="n"/>
      <c r="F35" s="2" t="n"/>
      <c r="G35" s="2" t="n"/>
    </row>
    <row r="36">
      <c r="A36" s="6" t="inlineStr">
        <is>
          <t>AE Bookings Quota ($)</t>
        </is>
      </c>
      <c r="B36" s="14">
        <f>Inputs!B15*Inputs!B16</f>
        <v/>
      </c>
      <c r="C36" s="14">
        <f>Inputs!B15*Inputs!B16</f>
        <v/>
      </c>
      <c r="D36" s="14">
        <f>Inputs!B15*Inputs!B16</f>
        <v/>
      </c>
      <c r="E36" s="2" t="n"/>
      <c r="F36" s="2" t="n"/>
      <c r="G36" s="2" t="n"/>
    </row>
    <row r="37">
      <c r="A37" s="6" t="inlineStr">
        <is>
          <t>Bookings Attainment %</t>
        </is>
      </c>
      <c r="B37" s="15">
        <f>B35/B36</f>
        <v/>
      </c>
      <c r="C37" s="15">
        <f>C35/C36</f>
        <v/>
      </c>
      <c r="D37" s="15">
        <f>D35/D36</f>
        <v/>
      </c>
      <c r="E37" s="2" t="n"/>
      <c r="F37" s="2" t="n"/>
      <c r="G37" s="2" t="n"/>
    </row>
    <row r="38">
      <c r="A38" s="6" t="inlineStr">
        <is>
          <t>Year 1 cACV ($)</t>
        </is>
      </c>
      <c r="B38" s="14">
        <f>MIN(Inputs!B5*Inputs!B7,Inputs!B5)</f>
        <v/>
      </c>
      <c r="C38" s="14">
        <f>MIN(Inputs!B5*Inputs!B7,Inputs!B5)</f>
        <v/>
      </c>
      <c r="D38" s="14">
        <f>MIN(Inputs!B5*Inputs!B7,Inputs!B5)</f>
        <v/>
      </c>
      <c r="E38" s="2" t="n"/>
      <c r="F38" s="2" t="n"/>
      <c r="G38" s="2" t="n"/>
    </row>
    <row r="39">
      <c r="A39" s="6" t="inlineStr">
        <is>
          <t>Year 1 cACV Quota Contribution ($)</t>
        </is>
      </c>
      <c r="B39" s="14">
        <f>MIN(Inputs!B5*Inputs!B7,Inputs!B5)*Inputs!B17</f>
        <v/>
      </c>
      <c r="C39" s="14">
        <f>MIN(Inputs!B5*Inputs!B7,Inputs!B5)*Inputs!B17</f>
        <v/>
      </c>
      <c r="D39" s="14">
        <f>MIN(Inputs!B5*Inputs!B7,Inputs!B5)*Inputs!B17</f>
        <v/>
      </c>
      <c r="E39" s="2" t="n"/>
      <c r="F39" s="2" t="n"/>
      <c r="G39" s="2" t="n"/>
    </row>
    <row r="40">
      <c r="A40" s="6" t="inlineStr">
        <is>
          <t>Year 1 cACV Quota ($)</t>
        </is>
      </c>
      <c r="B40" s="14">
        <f>Inputs!B15*Inputs!B17</f>
        <v/>
      </c>
      <c r="C40" s="14">
        <f>Inputs!B15*Inputs!B17</f>
        <v/>
      </c>
      <c r="D40" s="14">
        <f>Inputs!B15*Inputs!B17</f>
        <v/>
      </c>
      <c r="E40" s="2" t="n"/>
      <c r="F40" s="2" t="n"/>
      <c r="G40" s="2" t="n"/>
    </row>
    <row r="41">
      <c r="A41" s="6" t="inlineStr">
        <is>
          <t>Year 1 cACV Attainment %</t>
        </is>
      </c>
      <c r="B41" s="15">
        <f>B39/B40</f>
        <v/>
      </c>
      <c r="C41" s="15">
        <f>C39/C40</f>
        <v/>
      </c>
      <c r="D41" s="15">
        <f>D39/D40</f>
        <v/>
      </c>
      <c r="E41" s="2" t="n"/>
      <c r="F41" s="2" t="n"/>
      <c r="G41" s="2" t="n"/>
    </row>
    <row r="42">
      <c r="A42" s="20" t="inlineStr">
        <is>
          <t>Combined Year 1 Attainment %</t>
        </is>
      </c>
      <c r="B42" s="21">
        <f>B37+B41</f>
        <v/>
      </c>
      <c r="C42" s="21">
        <f>C37+C41</f>
        <v/>
      </c>
      <c r="D42" s="21">
        <f>D37+D41</f>
        <v/>
      </c>
      <c r="E42" s="2" t="n"/>
      <c r="F42" s="2" t="n"/>
      <c r="G42" s="2" t="n"/>
    </row>
  </sheetData>
  <mergeCells count="6">
    <mergeCell ref="A1:G1"/>
    <mergeCell ref="A17:G17"/>
    <mergeCell ref="A3:G3"/>
    <mergeCell ref="A25:G25"/>
    <mergeCell ref="A33:G33"/>
    <mergeCell ref="A10:G10"/>
  </mergeCells>
  <conditionalFormatting sqref="E12:E15">
    <cfRule type="cellIs" priority="1" operator="greaterThan" dxfId="0">
      <formula>1</formula>
    </cfRule>
    <cfRule type="cellIs" priority="4" operator="greaterThanOrEqual" dxfId="1">
      <formula>0.8</formula>
    </cfRule>
  </conditionalFormatting>
  <conditionalFormatting sqref="C12:C15">
    <cfRule type="cellIs" priority="2" operator="greaterThanOrEqual" dxfId="1">
      <formula>0.8</formula>
    </cfRule>
  </conditionalFormatting>
  <conditionalFormatting sqref="D12:D15">
    <cfRule type="cellIs" priority="3" operator="greaterThanOrEqual" dxfId="1">
      <formula>0.8</formula>
    </cfRule>
  </conditionalFormatting>
  <conditionalFormatting sqref="A19:E19">
    <cfRule type="cellIs" priority="5" operator="lessThan" dxfId="2">
      <formula>Inputs!$B$6+0.1</formula>
    </cfRule>
  </conditionalFormatting>
  <conditionalFormatting sqref="A20:E20">
    <cfRule type="cellIs" priority="6" operator="lessThan" dxfId="2">
      <formula>Inputs!$B$6+0.1</formula>
    </cfRule>
  </conditionalFormatting>
  <conditionalFormatting sqref="A21:E21">
    <cfRule type="cellIs" priority="7" operator="lessThan" dxfId="2">
      <formula>Inputs!$B$6+0.1</formula>
    </cfRule>
  </conditionalFormatting>
  <conditionalFormatting sqref="A22:E22">
    <cfRule type="cellIs" priority="8" operator="lessThan" dxfId="2">
      <formula>Inputs!$B$6+0.1</formula>
    </cfRule>
  </conditionalFormatting>
  <conditionalFormatting sqref="A23:E23">
    <cfRule type="cellIs" priority="9" operator="lessThan" dxfId="2">
      <formula>Inputs!$B$6+0.1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2" customWidth="1" min="4" max="4"/>
    <col width="22" customWidth="1" min="5" max="5"/>
    <col width="24" customWidth="1" min="6" max="6"/>
    <col width="22" customWidth="1" min="7" max="7"/>
    <col width="5" customWidth="1" min="8" max="8"/>
  </cols>
  <sheetData>
    <row r="1" ht="22" customHeight="1">
      <c r="A1" s="1" t="inlineStr">
        <is>
          <t>Prisma Cloud cACV Comp Model — AM Model</t>
        </is>
      </c>
      <c r="B1" s="2" t="n"/>
      <c r="C1" s="2" t="n"/>
      <c r="D1" s="2" t="n"/>
      <c r="E1" s="2" t="n"/>
      <c r="F1" s="2" t="n"/>
      <c r="G1" s="2" t="n"/>
    </row>
    <row r="2">
      <c r="A2" s="22" t="inlineStr">
        <is>
          <t>Note: AM owns cACV from Year 2 onward. Year 1 cACV credit belongs to AE (ramp period).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18" customHeight="1">
      <c r="A4" s="3" t="inlineStr">
        <is>
          <t>SECTION 1 — AM cACV by Year (Years 2–5)</t>
        </is>
      </c>
      <c r="B4" s="2" t="n"/>
      <c r="C4" s="2" t="n"/>
      <c r="D4" s="2" t="n"/>
      <c r="E4" s="2" t="n"/>
      <c r="F4" s="2" t="n"/>
      <c r="G4" s="2" t="n"/>
    </row>
    <row r="5" ht="30" customHeight="1">
      <c r="A5" s="5" t="inlineStr">
        <is>
          <t>Year</t>
        </is>
      </c>
      <c r="B5" s="5" t="inlineStr">
        <is>
          <t>Consumption Rate</t>
        </is>
      </c>
      <c r="C5" s="5" t="inlineStr">
        <is>
          <t>Annual cACV ($)</t>
        </is>
      </c>
      <c r="D5" s="5" t="inlineStr">
        <is>
          <t>expansion_signal_acv ($)</t>
        </is>
      </c>
      <c r="E5" s="5" t="inlineStr">
        <is>
          <t>AM cACV Quota
Contribution ($)</t>
        </is>
      </c>
      <c r="F5" s="5" t="inlineStr">
        <is>
          <t>Cumulative cACV ($)</t>
        </is>
      </c>
      <c r="G5" s="2" t="n"/>
    </row>
    <row r="6">
      <c r="A6" s="16" t="inlineStr">
        <is>
          <t>Year 2</t>
        </is>
      </c>
      <c r="B6" s="17">
        <f>IF((Inputs!B6&gt;=2),Inputs!B8,"N/A")</f>
        <v/>
      </c>
      <c r="C6" s="14">
        <f>IF((Inputs!B6&gt;=2),MIN(Inputs!B5*Inputs!B8,Inputs!B5),"N/A")</f>
        <v/>
      </c>
      <c r="D6" s="14">
        <f>IF((Inputs!B6&gt;=2),MAX(Inputs!B5*Inputs!B8-Inputs!B5,0),"N/A")</f>
        <v/>
      </c>
      <c r="E6" s="14">
        <f>IF((Inputs!B6&gt;=2),MIN(Inputs!B5*Inputs!B8,Inputs!B5)*Inputs!B20,"N/A")</f>
        <v/>
      </c>
      <c r="F6" s="14">
        <f>IF((Inputs!B6&gt;=2),MIN(Inputs!B5*Inputs!B8,Inputs!B5),"N/A")</f>
        <v/>
      </c>
      <c r="G6" s="2" t="n"/>
    </row>
    <row r="7">
      <c r="A7" s="16" t="inlineStr">
        <is>
          <t>Year 3</t>
        </is>
      </c>
      <c r="B7" s="17">
        <f>IF((Inputs!B6&gt;=3),Inputs!B9,"N/A")</f>
        <v/>
      </c>
      <c r="C7" s="14">
        <f>IF((Inputs!B6&gt;=3),MIN(Inputs!B5*Inputs!B9,Inputs!B5),"N/A")</f>
        <v/>
      </c>
      <c r="D7" s="14">
        <f>IF((Inputs!B6&gt;=3),MAX(Inputs!B5*Inputs!B9-Inputs!B5,0),"N/A")</f>
        <v/>
      </c>
      <c r="E7" s="14">
        <f>IF((Inputs!B6&gt;=3),MIN(Inputs!B5*Inputs!B9,Inputs!B5)*Inputs!B20,"N/A")</f>
        <v/>
      </c>
      <c r="F7" s="14">
        <f>IF((Inputs!B6&gt;=3),IF(ISNUMBER(F6),F6,0)+MIN(Inputs!B5*Inputs!B9,Inputs!B5),"N/A")</f>
        <v/>
      </c>
      <c r="G7" s="2" t="n"/>
    </row>
    <row r="8">
      <c r="A8" s="16" t="inlineStr">
        <is>
          <t>Year 4</t>
        </is>
      </c>
      <c r="B8" s="17">
        <f>IF((Inputs!B6&gt;=4),Inputs!B10,"N/A")</f>
        <v/>
      </c>
      <c r="C8" s="14">
        <f>IF((Inputs!B6&gt;=4),MIN(Inputs!B5*Inputs!B10,Inputs!B5),"N/A")</f>
        <v/>
      </c>
      <c r="D8" s="14">
        <f>IF((Inputs!B6&gt;=4),MAX(Inputs!B5*Inputs!B10-Inputs!B5,0),"N/A")</f>
        <v/>
      </c>
      <c r="E8" s="14">
        <f>IF((Inputs!B6&gt;=4),MIN(Inputs!B5*Inputs!B10,Inputs!B5)*Inputs!B20,"N/A")</f>
        <v/>
      </c>
      <c r="F8" s="14">
        <f>IF((Inputs!B6&gt;=4),IF(ISNUMBER(F7),F7,0)+MIN(Inputs!B5*Inputs!B10,Inputs!B5),"N/A")</f>
        <v/>
      </c>
      <c r="G8" s="2" t="n"/>
    </row>
    <row r="9">
      <c r="A9" s="16" t="inlineStr">
        <is>
          <t>Year 5</t>
        </is>
      </c>
      <c r="B9" s="17">
        <f>IF((Inputs!B6&gt;=5),Inputs!B11,"N/A")</f>
        <v/>
      </c>
      <c r="C9" s="14">
        <f>IF((Inputs!B6&gt;=5),MIN(Inputs!B5*Inputs!B11,Inputs!B5),"N/A")</f>
        <v/>
      </c>
      <c r="D9" s="14">
        <f>IF((Inputs!B6&gt;=5),MAX(Inputs!B5*Inputs!B11-Inputs!B5,0),"N/A")</f>
        <v/>
      </c>
      <c r="E9" s="14">
        <f>IF((Inputs!B6&gt;=5),MIN(Inputs!B5*Inputs!B11,Inputs!B5)*Inputs!B20,"N/A")</f>
        <v/>
      </c>
      <c r="F9" s="14">
        <f>IF((Inputs!B6&gt;=5),IF(ISNUMBER(F8),F8,0)+MIN(Inputs!B5*Inputs!B11,Inputs!B5),"N/A")</f>
        <v/>
      </c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 ht="18" customHeight="1">
      <c r="A12" s="3" t="inlineStr">
        <is>
          <t>SECTION 2 — AM Bookings: Renewal at End of Contract</t>
        </is>
      </c>
      <c r="B12" s="2" t="n"/>
      <c r="C12" s="2" t="n"/>
      <c r="D12" s="2" t="n"/>
      <c r="E12" s="2" t="n"/>
      <c r="F12" s="2" t="n"/>
      <c r="G12" s="2" t="n"/>
    </row>
    <row r="13" ht="30" customHeight="1">
      <c r="A13" s="5" t="inlineStr">
        <is>
          <t>Metric</t>
        </is>
      </c>
      <c r="B13" s="5" t="inlineStr">
        <is>
          <t>Value</t>
        </is>
      </c>
      <c r="C13" s="2" t="n"/>
      <c r="D13" s="2" t="n"/>
      <c r="E13" s="2" t="n"/>
      <c r="F13" s="2" t="n"/>
      <c r="G13" s="2" t="n"/>
    </row>
    <row r="14">
      <c r="A14" s="6" t="inlineStr">
        <is>
          <t>Renewal ACV ($)</t>
        </is>
      </c>
      <c r="B14" s="13">
        <f>Inputs!B5</f>
        <v/>
      </c>
      <c r="C14" s="2" t="n"/>
      <c r="D14" s="2" t="n"/>
      <c r="E14" s="2" t="n"/>
      <c r="F14" s="2" t="n"/>
      <c r="G14" s="2" t="n"/>
    </row>
    <row r="15">
      <c r="A15" s="6" t="inlineStr">
        <is>
          <t>Renewal term (years)</t>
        </is>
      </c>
      <c r="B15" s="9" t="n">
        <v>1</v>
      </c>
      <c r="C15" s="2" t="n"/>
      <c r="D15" s="2" t="n"/>
      <c r="E15" s="2" t="n"/>
      <c r="F15" s="2" t="n"/>
      <c r="G15" s="2" t="n"/>
    </row>
    <row r="16">
      <c r="A16" s="6" t="inlineStr">
        <is>
          <t>Renewal multiplier</t>
        </is>
      </c>
      <c r="B16" s="23">
        <f>Inputs!B24</f>
        <v/>
      </c>
      <c r="C16" s="2" t="n"/>
      <c r="D16" s="2" t="n"/>
      <c r="E16" s="2" t="n"/>
      <c r="F16" s="2" t="n"/>
      <c r="G16" s="2" t="n"/>
    </row>
    <row r="17">
      <c r="A17" s="6" t="inlineStr">
        <is>
          <t>AM bookings quota contribution ($)</t>
        </is>
      </c>
      <c r="B17" s="14">
        <f>B14*B15*Inputs!B19</f>
        <v/>
      </c>
      <c r="C17" s="2" t="n"/>
      <c r="D17" s="2" t="n"/>
      <c r="E17" s="2" t="n"/>
      <c r="F17" s="2" t="n"/>
      <c r="G17" s="2" t="n"/>
    </row>
    <row r="18">
      <c r="A18" s="6" t="inlineStr">
        <is>
          <t>AM total bookings quota ($)</t>
        </is>
      </c>
      <c r="B18" s="13">
        <f>Inputs!B18*Inputs!B19</f>
        <v/>
      </c>
      <c r="C18" s="2" t="n"/>
      <c r="D18" s="2" t="n"/>
      <c r="E18" s="2" t="n"/>
      <c r="F18" s="2" t="n"/>
      <c r="G18" s="2" t="n"/>
    </row>
    <row r="19">
      <c r="A19" s="6" t="inlineStr">
        <is>
          <t>AM bookings attainment %</t>
        </is>
      </c>
      <c r="B19" s="15">
        <f>B17/B18</f>
        <v/>
      </c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 ht="18" customHeight="1">
      <c r="A22" s="3" t="inlineStr">
        <is>
          <t>SECTION 3 — AM Annual Attainment Summary</t>
        </is>
      </c>
      <c r="B22" s="2" t="n"/>
      <c r="C22" s="2" t="n"/>
      <c r="D22" s="2" t="n"/>
      <c r="E22" s="2" t="n"/>
      <c r="F22" s="2" t="n"/>
      <c r="G22" s="2" t="n"/>
    </row>
    <row r="23" ht="30" customHeight="1">
      <c r="A23" s="5" t="inlineStr">
        <is>
          <t>Year</t>
        </is>
      </c>
      <c r="B23" s="5" t="inlineStr">
        <is>
          <t>Annual cACV Quota
Contribution ($)</t>
        </is>
      </c>
      <c r="C23" s="5" t="inlineStr">
        <is>
          <t>AM cACV Quota ($)</t>
        </is>
      </c>
      <c r="D23" s="5" t="inlineStr">
        <is>
          <t>cACV Attainment %
(This Year)</t>
        </is>
      </c>
      <c r="E23" s="5" t="inlineStr">
        <is>
          <t>Cumulative cACV
Attainment %</t>
        </is>
      </c>
      <c r="F23" s="5" t="inlineStr">
        <is>
          <t>Bookings Attainment
(renewal year only) %</t>
        </is>
      </c>
      <c r="G23" s="5" t="inlineStr">
        <is>
          <t>Combined Attainment %</t>
        </is>
      </c>
    </row>
    <row r="24">
      <c r="A24" s="16" t="inlineStr">
        <is>
          <t>Year 2</t>
        </is>
      </c>
      <c r="B24" s="24">
        <f>IF((Inputs!B6&gt;=2),E6,"N/A")</f>
        <v/>
      </c>
      <c r="C24" s="14">
        <f>IF((Inputs!B6&gt;=2),Inputs!B18*Inputs!B20,"N/A")</f>
        <v/>
      </c>
      <c r="D24" s="15">
        <f>IF((Inputs!B6&gt;=2),B24/C24,"N/A")</f>
        <v/>
      </c>
      <c r="E24" s="15">
        <f>IF((Inputs!B6&gt;=2),(IF(ISNUMBER(F6),F6,0)*Inputs!B20)/(Inputs!B18*Inputs!B20),"N/A")</f>
        <v/>
      </c>
      <c r="F24" s="15">
        <f>IF(Inputs!B6=2,B17/(Inputs!B18*Inputs!B19),"N/A")</f>
        <v/>
      </c>
      <c r="G24" s="15">
        <f>IF((Inputs!B6&gt;=2),D24+IF(ISNUMBER(F24),F24,0),"N/A")</f>
        <v/>
      </c>
    </row>
    <row r="25">
      <c r="A25" s="16" t="inlineStr">
        <is>
          <t>Year 3</t>
        </is>
      </c>
      <c r="B25" s="24">
        <f>IF((Inputs!B6&gt;=3),E7,"N/A")</f>
        <v/>
      </c>
      <c r="C25" s="14">
        <f>IF((Inputs!B6&gt;=3),Inputs!B18*Inputs!B20,"N/A")</f>
        <v/>
      </c>
      <c r="D25" s="15">
        <f>IF((Inputs!B6&gt;=3),B25/C25,"N/A")</f>
        <v/>
      </c>
      <c r="E25" s="15">
        <f>IF((Inputs!B6&gt;=3),(IF(ISNUMBER(F7),F7,0)*Inputs!B20)/(Inputs!B18*Inputs!B20),"N/A")</f>
        <v/>
      </c>
      <c r="F25" s="15">
        <f>IF(Inputs!B6=3,B17/(Inputs!B18*Inputs!B19),"N/A")</f>
        <v/>
      </c>
      <c r="G25" s="15">
        <f>IF((Inputs!B6&gt;=3),D25+IF(ISNUMBER(F25),F25,0),"N/A")</f>
        <v/>
      </c>
    </row>
    <row r="26">
      <c r="A26" s="16" t="inlineStr">
        <is>
          <t>Year 4</t>
        </is>
      </c>
      <c r="B26" s="24">
        <f>IF((Inputs!B6&gt;=4),E8,"N/A")</f>
        <v/>
      </c>
      <c r="C26" s="14">
        <f>IF((Inputs!B6&gt;=4),Inputs!B18*Inputs!B20,"N/A")</f>
        <v/>
      </c>
      <c r="D26" s="15">
        <f>IF((Inputs!B6&gt;=4),B26/C26,"N/A")</f>
        <v/>
      </c>
      <c r="E26" s="15">
        <f>IF((Inputs!B6&gt;=4),(IF(ISNUMBER(F8),F8,0)*Inputs!B20)/(Inputs!B18*Inputs!B20),"N/A")</f>
        <v/>
      </c>
      <c r="F26" s="15">
        <f>IF(Inputs!B6=4,B17/(Inputs!B18*Inputs!B19),"N/A")</f>
        <v/>
      </c>
      <c r="G26" s="15">
        <f>IF((Inputs!B6&gt;=4),D26+IF(ISNUMBER(F26),F26,0),"N/A")</f>
        <v/>
      </c>
    </row>
    <row r="27">
      <c r="A27" s="16" t="inlineStr">
        <is>
          <t>Year 5</t>
        </is>
      </c>
      <c r="B27" s="24">
        <f>IF((Inputs!B6&gt;=5),E9,"N/A")</f>
        <v/>
      </c>
      <c r="C27" s="14">
        <f>IF((Inputs!B6&gt;=5),Inputs!B18*Inputs!B20,"N/A")</f>
        <v/>
      </c>
      <c r="D27" s="15">
        <f>IF((Inputs!B6&gt;=5),B27/C27,"N/A")</f>
        <v/>
      </c>
      <c r="E27" s="15">
        <f>IF((Inputs!B6&gt;=5),(IF(ISNUMBER(F9),F9,0)*Inputs!B20)/(Inputs!B18*Inputs!B20),"N/A")</f>
        <v/>
      </c>
      <c r="F27" s="15">
        <f>IF(Inputs!B6=5,B17/(Inputs!B18*Inputs!B19),"N/A")</f>
        <v/>
      </c>
      <c r="G27" s="15">
        <f>IF((Inputs!B6&gt;=5),D27+IF(ISNUMBER(F27),F27,0),"N/A")</f>
        <v/>
      </c>
    </row>
  </sheetData>
  <mergeCells count="4">
    <mergeCell ref="A22:G22"/>
    <mergeCell ref="A1:G1"/>
    <mergeCell ref="A12:G12"/>
    <mergeCell ref="A4:G4"/>
  </mergeCells>
  <conditionalFormatting sqref="G24:G27">
    <cfRule type="cellIs" priority="1" operator="greaterThanOrEqual" dxfId="1">
      <formula>0.8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2026-06-01T04:48:19Z</dcterms:created>
  <dcterms:modified xsi:type="dcterms:W3CDTF">2026-06-01T04:48:20Z</dcterms:modified>
</cp:coreProperties>
</file>